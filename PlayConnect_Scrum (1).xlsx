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Backlog" sheetId="2" state="visible" r:id="rId4"/>
    <sheet name="Sprints" sheetId="3" state="visible" r:id="rId5"/>
    <sheet name="Roadmap por fas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<sst xmlns="http://schemas.openxmlformats.org/spreadsheetml/2006/main" count="265" uniqueCount="150">
  <si>
    <t xml:space="preserve">PLAYCONNECT</t>
  </si>
  <si>
    <t xml:space="preserve">Plan Scrum de desarrollo</t>
  </si>
  <si>
    <t xml:space="preserve">Metodologia</t>
  </si>
  <si>
    <t xml:space="preserve">Scrum, sprints de 2 semanas</t>
  </si>
  <si>
    <t xml:space="preserve">Duracion estimada MVP (Fase 1)</t>
  </si>
  <si>
    <t xml:space="preserve">8 sprints (~16 semanas)</t>
  </si>
  <si>
    <t xml:space="preserve">Deportes de lanzamiento</t>
  </si>
  <si>
    <t xml:space="preserve">Futbol y Padel</t>
  </si>
  <si>
    <t xml:space="preserve">Hoja de historias</t>
  </si>
  <si>
    <t xml:space="preserve">Ver pestana 'Backlog'</t>
  </si>
  <si>
    <t xml:space="preserve">Hoja de sprints</t>
  </si>
  <si>
    <t xml:space="preserve">Ver pestana 'Sprints'</t>
  </si>
  <si>
    <t xml:space="preserve">Hoja de fases</t>
  </si>
  <si>
    <t xml:space="preserve">Ver pestana 'Roadmap por fases'</t>
  </si>
  <si>
    <t xml:space="preserve">Resumen de historias por prioridad</t>
  </si>
  <si>
    <t xml:space="preserve">Prioridad</t>
  </si>
  <si>
    <t xml:space="preserve">Historias</t>
  </si>
  <si>
    <t xml:space="preserve">Story points</t>
  </si>
  <si>
    <t xml:space="preserve">Alta</t>
  </si>
  <si>
    <t xml:space="preserve">Media</t>
  </si>
  <si>
    <t xml:space="preserve">Baja</t>
  </si>
  <si>
    <t xml:space="preserve">Total</t>
  </si>
  <si>
    <t xml:space="preserve">ID</t>
  </si>
  <si>
    <t xml:space="preserve">Epica</t>
  </si>
  <si>
    <t xml:space="preserve">Historia de usuario</t>
  </si>
  <si>
    <t xml:space="preserve">Sprint</t>
  </si>
  <si>
    <t xml:space="preserve">Estado</t>
  </si>
  <si>
    <t xml:space="preserve">Notas</t>
  </si>
  <si>
    <t xml:space="preserve">HU-01</t>
  </si>
  <si>
    <t xml:space="preserve">Perfil y reputacion</t>
  </si>
  <si>
    <t xml:space="preserve">Como jugador quiero crear mi perfil con foto y deportes que practico para que otros me encuentren</t>
  </si>
  <si>
    <t xml:space="preserve">Pendiente</t>
  </si>
  <si>
    <t xml:space="preserve">HU-02</t>
  </si>
  <si>
    <t xml:space="preserve">Como jugador quiero subir fotos y videos jugando para mostrar mi nivel</t>
  </si>
  <si>
    <t xml:space="preserve">HU-03</t>
  </si>
  <si>
    <t xml:space="preserve">Como jugador quiero calificar a otros tras un partido para construir reputacion en la comunidad</t>
  </si>
  <si>
    <t xml:space="preserve">Criterios: nivel, puntualidad, actitud</t>
  </si>
  <si>
    <t xml:space="preserve">HU-04</t>
  </si>
  <si>
    <t xml:space="preserve">Como jugador quiero ver el historial de partidos jugados en mi perfil</t>
  </si>
  <si>
    <t xml:space="preserve">HU-05</t>
  </si>
  <si>
    <t xml:space="preserve">Matchmaking geografico</t>
  </si>
  <si>
    <t xml:space="preserve">Como jugador quiero activarme en linea para aparecer disponible ante otros cerca</t>
  </si>
  <si>
    <t xml:space="preserve">HU-06</t>
  </si>
  <si>
    <t xml:space="preserve">Como jugador quiero definir mi radio de busqueda para encontrar gente cerca</t>
  </si>
  <si>
    <t xml:space="preserve">HU-07</t>
  </si>
  <si>
    <t xml:space="preserve">Como jugador quiero filtrar por deporte, nivel y horario al buscar partidos</t>
  </si>
  <si>
    <t xml:space="preserve">HU-08</t>
  </si>
  <si>
    <t xml:space="preserve">Como jugador quiero recibir notificaciones cuando haya una coincidencia cerca</t>
  </si>
  <si>
    <t xml:space="preserve">Requiere push notifications</t>
  </si>
  <si>
    <t xml:space="preserve">HU-09</t>
  </si>
  <si>
    <t xml:space="preserve">Equipos</t>
  </si>
  <si>
    <t xml:space="preserve">Como jugador quiero crear un equipo e invitar miembros</t>
  </si>
  <si>
    <t xml:space="preserve">HU-10</t>
  </si>
  <si>
    <t xml:space="preserve">Como capitan quiero publicar un anuncio de jugador faltante con posicion y nivel</t>
  </si>
  <si>
    <t xml:space="preserve">HU-11</t>
  </si>
  <si>
    <t xml:space="preserve">Como jugador quiero unirme a un anuncio de equipo que necesita gente</t>
  </si>
  <si>
    <t xml:space="preserve">HU-12</t>
  </si>
  <si>
    <t xml:space="preserve">Como usuario quiero ver el perfil de un equipo con su historial y calificacion</t>
  </si>
  <si>
    <t xml:space="preserve">HU-13</t>
  </si>
  <si>
    <t xml:space="preserve">Grupo de partido</t>
  </si>
  <si>
    <t xml:space="preserve">Como organizador quiero que se cree un grupo temporal cuando el numero de jugadores se completa</t>
  </si>
  <si>
    <t xml:space="preserve">Chat + evento</t>
  </si>
  <si>
    <t xml:space="preserve">HU-14</t>
  </si>
  <si>
    <t xml:space="preserve">Como jugador quiero comunicarme con el grupo confirmado antes del partido</t>
  </si>
  <si>
    <t xml:space="preserve">HU-15</t>
  </si>
  <si>
    <t xml:space="preserve">Canchas y reservas</t>
  </si>
  <si>
    <t xml:space="preserve">Como jugador quiero ver canchas cercanas disponibles en un mapa</t>
  </si>
  <si>
    <t xml:space="preserve">HU-16</t>
  </si>
  <si>
    <t xml:space="preserve">Como jugador quiero ver horarios y precio de una cancha antes de reservar</t>
  </si>
  <si>
    <t xml:space="preserve">HU-17</t>
  </si>
  <si>
    <t xml:space="preserve">Como jugador quiero reservar una cancha en tiempo real sin riesgo de doble reserva</t>
  </si>
  <si>
    <t xml:space="preserve">Requiere control de concurrencia</t>
  </si>
  <si>
    <t xml:space="preserve">HU-18</t>
  </si>
  <si>
    <t xml:space="preserve">Como jugador quiero dividir el costo de la cancha entre los del grupo</t>
  </si>
  <si>
    <t xml:space="preserve">HU-19</t>
  </si>
  <si>
    <t xml:space="preserve">Como centro deportivo quiero gestionar horarios, precios y bloqueos de mis canchas</t>
  </si>
  <si>
    <t xml:space="preserve">Panel de centro deportivo</t>
  </si>
  <si>
    <t xml:space="preserve">HU-20</t>
  </si>
  <si>
    <t xml:space="preserve">Suscripcion premium</t>
  </si>
  <si>
    <t xml:space="preserve">Como jugador quiero suscribirme a premium para crear mas equipos</t>
  </si>
  <si>
    <t xml:space="preserve">HU-21</t>
  </si>
  <si>
    <t xml:space="preserve">Como jugador premium quiero mayor alcance en las busquedas</t>
  </si>
  <si>
    <t xml:space="preserve">HU-22</t>
  </si>
  <si>
    <t xml:space="preserve">Como jugador premium quiero ver estadisticas avanzadas de mi desempeno</t>
  </si>
  <si>
    <t xml:space="preserve">HU-23</t>
  </si>
  <si>
    <t xml:space="preserve">Torneos</t>
  </si>
  <si>
    <t xml:space="preserve">Como centro deportivo quiero crear un torneo publico con fecha e inscripcion</t>
  </si>
  <si>
    <t xml:space="preserve">HU-24</t>
  </si>
  <si>
    <t xml:space="preserve">Como equipo quiero inscribirme a un torneo publico</t>
  </si>
  <si>
    <t xml:space="preserve">HU-25</t>
  </si>
  <si>
    <t xml:space="preserve">Como centro deportivo quiero generar el bracket y registrar resultados</t>
  </si>
  <si>
    <t xml:space="preserve">HU-26</t>
  </si>
  <si>
    <t xml:space="preserve">Como plataforma quiero cobrar una comision sobre cada inscripcion a torneo</t>
  </si>
  <si>
    <t xml:space="preserve">Requiere pasarela de pagos</t>
  </si>
  <si>
    <t xml:space="preserve">HU-27</t>
  </si>
  <si>
    <t xml:space="preserve">Apuestas entre usuarios</t>
  </si>
  <si>
    <t xml:space="preserve">Como jugador quiero proponer un reto con monto a otro equipo o jugador</t>
  </si>
  <si>
    <t xml:space="preserve">Bloqueado hasta validacion legal</t>
  </si>
  <si>
    <t xml:space="preserve">HU-28</t>
  </si>
  <si>
    <t xml:space="preserve">Como jugador quiero que la app registre el acuerdo del reto sin retener el dinero</t>
  </si>
  <si>
    <t xml:space="preserve">HU-29</t>
  </si>
  <si>
    <t xml:space="preserve">Como plataforma quiero cobrar una comision por el servicio de gestion del reto</t>
  </si>
  <si>
    <t xml:space="preserve">HU-30</t>
  </si>
  <si>
    <t xml:space="preserve">Fundacion tecnica</t>
  </si>
  <si>
    <t xml:space="preserve">Como equipo quiero definir arquitectura, backend y base de datos inicial</t>
  </si>
  <si>
    <t xml:space="preserve">Sprint 0 - setup</t>
  </si>
  <si>
    <t xml:space="preserve">HU-31</t>
  </si>
  <si>
    <t xml:space="preserve">Como equipo quiero integrar autenticacion y registro de usuarios</t>
  </si>
  <si>
    <t xml:space="preserve">HU-32</t>
  </si>
  <si>
    <t xml:space="preserve">Como equipo quiero integrar una pasarela de pagos local</t>
  </si>
  <si>
    <t xml:space="preserve">Necesaria antes de reservas y torneos</t>
  </si>
  <si>
    <t xml:space="preserve">Objetivo del sprint</t>
  </si>
  <si>
    <t xml:space="preserve">Fase</t>
  </si>
  <si>
    <t xml:space="preserve">Historias asignadas</t>
  </si>
  <si>
    <t xml:space="preserve">Fundacion tecnica: arquitectura, autenticacion y setup del proyecto</t>
  </si>
  <si>
    <t xml:space="preserve">Fase 1 - MVP</t>
  </si>
  <si>
    <t xml:space="preserve">Perfil basico y activacion / busqueda geografica de jugadores</t>
  </si>
  <si>
    <t xml:space="preserve">Calificaciones, historial y creacion de equipos</t>
  </si>
  <si>
    <t xml:space="preserve">Anuncios de equipo, union a partidos y grupo de partido temporal</t>
  </si>
  <si>
    <t xml:space="preserve">Listado y reserva de canchas en tiempo real + pasarela de pagos</t>
  </si>
  <si>
    <t xml:space="preserve">Division de costos de cancha y suscripcion premium</t>
  </si>
  <si>
    <t xml:space="preserve">Fase 2</t>
  </si>
  <si>
    <t xml:space="preserve">Torneos: creacion e inscripcion</t>
  </si>
  <si>
    <t xml:space="preserve">Torneos: brackets, resultados y comision de inscripcion</t>
  </si>
  <si>
    <t xml:space="preserve">Apuestas entre usuarios (sujeto a validacion legal previa)</t>
  </si>
  <si>
    <t xml:space="preserve">Fase 3</t>
  </si>
  <si>
    <t xml:space="preserve">Modulo</t>
  </si>
  <si>
    <t xml:space="preserve">Sprints</t>
  </si>
  <si>
    <t xml:space="preserve">Nota</t>
  </si>
  <si>
    <t xml:space="preserve">Fase 0 - Setup</t>
  </si>
  <si>
    <t xml:space="preserve">Sprint 0</t>
  </si>
  <si>
    <t xml:space="preserve">Arquitectura, backend, base de datos, autenticacion</t>
  </si>
  <si>
    <t xml:space="preserve">Sprint 1-2</t>
  </si>
  <si>
    <t xml:space="preserve">Incluye calificaciones e historial</t>
  </si>
  <si>
    <t xml:space="preserve">Sprint 1-3</t>
  </si>
  <si>
    <t xml:space="preserve">Activacion en linea, busqueda, filtros</t>
  </si>
  <si>
    <t xml:space="preserve">Sprint 2-3</t>
  </si>
  <si>
    <t xml:space="preserve">Creacion, anuncios, union</t>
  </si>
  <si>
    <t xml:space="preserve">Sprint 3-4</t>
  </si>
  <si>
    <t xml:space="preserve">Listado, reserva en tiempo real, pagos</t>
  </si>
  <si>
    <t xml:space="preserve">Division de costos + Premium</t>
  </si>
  <si>
    <t xml:space="preserve">Sprint 5</t>
  </si>
  <si>
    <t xml:space="preserve">Suscripcion y division de pago de cancha</t>
  </si>
  <si>
    <t xml:space="preserve">Sprint 6-7</t>
  </si>
  <si>
    <t xml:space="preserve">Creacion, inscripcion, brackets, comision</t>
  </si>
  <si>
    <t xml:space="preserve">Sprint 8</t>
  </si>
  <si>
    <t xml:space="preserve">Bloqueado hasta validacion legal (ver PRD seccion 7)</t>
  </si>
  <si>
    <t xml:space="preserve">Nuevos deportes</t>
  </si>
  <si>
    <t xml:space="preserve">Por definir</t>
  </si>
  <si>
    <t xml:space="preserve">Basquet, tenis, voley - una vez el nucleo este validado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</si>
</sst>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6F50"/>
      <name val="Arial"/>
      <family val="0"/>
      <charset val="1"/>
    </font>
    <font>
      <i val="true"/>
      <sz val="11"/>
      <color rgb="FF5A5A5A"/>
      <name val="Arial"/>
      <family val="0"/>
      <charset val="1"/>
    </font>
    <font>
      <b val="true"/>
      <sz val="11"/>
      <color rgb="FF1F6F5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6F50"/>
        <bgColor rgb="FF008080"/>
      </patternFill>
    </fill>
    <fill>
      <patternFill patternType="solid">
        <fgColor rgb="FFF5C4B3"/>
        <bgColor rgb="FFFAC775"/>
      </patternFill>
    </fill>
    <fill>
      <patternFill patternType="solid">
        <fgColor rgb="FFEAEAEA"/>
        <bgColor rgb="FFD9D9D9"/>
      </patternFill>
    </fill>
    <fill>
      <patternFill patternType="solid">
        <fgColor rgb="FFFAC775"/>
        <bgColor rgb="FFF5C4B3"/>
      </patternFill>
    </fill>
    <fill>
      <patternFill patternType="solid">
        <fgColor rgb="FFD3D1C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50"/>
      <rgbColor rgb="FFD3D1C7"/>
      <rgbColor rgb="FF808080"/>
      <rgbColor rgb="FF9999FF"/>
      <rgbColor rgb="FF993366"/>
      <rgbColor rgb="FFEAEAE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5C4B3"/>
      <rgbColor rgb="FF3366FF"/>
      <rgbColor rgb="FF33CCCC"/>
      <rgbColor rgb="FF99CC00"/>
      <rgbColor rgb="FFFAC775"/>
      <rgbColor rgb="FFFF9900"/>
      <rgbColor rgb="FFFF6600"/>
      <rgbColor rgb="FF5A5A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34"/>
    <col collapsed="false" customWidth="true" hidden="false" outlineLevel="0" max="5" min="5" style="0" width="14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4" t="s">
        <v>3</v>
      </c>
    </row>
    <row r="6" customFormat="false" ht="15" hidden="false" customHeight="false" outlineLevel="0" collapsed="false">
      <c r="B6" s="3" t="s">
        <v>4</v>
      </c>
      <c r="D6" s="4" t="s">
        <v>5</v>
      </c>
    </row>
    <row r="7" customFormat="false" ht="15" hidden="false" customHeight="false" outlineLevel="0" collapsed="false">
      <c r="B7" s="3" t="s">
        <v>6</v>
      </c>
      <c r="D7" s="4" t="s">
        <v>7</v>
      </c>
    </row>
    <row r="8" customFormat="false" ht="15" hidden="false" customHeight="false" outlineLevel="0" collapsed="false">
      <c r="B8" s="3" t="s">
        <v>8</v>
      </c>
      <c r="D8" s="4" t="s">
        <v>9</v>
      </c>
    </row>
    <row r="9" customFormat="false" ht="15" hidden="false" customHeight="false" outlineLevel="0" collapsed="false">
      <c r="B9" s="3" t="s">
        <v>10</v>
      </c>
      <c r="D9" s="4" t="s">
        <v>11</v>
      </c>
    </row>
    <row r="10" customFormat="false" ht="15" hidden="false" customHeight="false" outlineLevel="0" collapsed="false">
      <c r="B10" s="3" t="s">
        <v>12</v>
      </c>
      <c r="D10" s="4" t="s">
        <v>13</v>
      </c>
    </row>
    <row r="12" customFormat="false" ht="15" hidden="false" customHeight="false" outlineLevel="0" collapsed="false">
      <c r="B12" s="3" t="s">
        <v>14</v>
      </c>
    </row>
    <row r="13" customFormat="false" ht="15" hidden="false" customHeight="false" outlineLevel="0" collapsed="false">
      <c r="B13" s="5" t="s">
        <v>15</v>
      </c>
      <c r="C13" s="5" t="s">
        <v>16</v>
      </c>
      <c r="D13" s="5" t="s">
        <v>17</v>
      </c>
    </row>
    <row r="14" customFormat="false" ht="15" hidden="false" customHeight="false" outlineLevel="0" collapsed="false">
      <c r="B14" s="6" t="s">
        <v>18</v>
      </c>
      <c r="C14" s="6" t="n">
        <f aca="false">COUNTIF(Backlog!$D$3:$D$1000,B14)</f>
        <v>19</v>
      </c>
      <c r="D14" s="6" t="n">
        <f aca="false">SUMIF(Backlog!$D$3:$D$1000,B14,Backlog!$E$3:$E$1000)</f>
        <v>102</v>
      </c>
    </row>
    <row r="15" customFormat="false" ht="15" hidden="false" customHeight="false" outlineLevel="0" collapsed="false">
      <c r="B15" s="6" t="s">
        <v>19</v>
      </c>
      <c r="C15" s="6" t="n">
        <f aca="false">COUNTIF(Backlog!$D$3:$D$1000,B15)</f>
        <v>10</v>
      </c>
      <c r="D15" s="6" t="n">
        <f aca="false">SUMIF(Backlog!$D$3:$D$1000,B15,Backlog!$E$3:$E$1000)</f>
        <v>47</v>
      </c>
    </row>
    <row r="16" customFormat="false" ht="15" hidden="false" customHeight="false" outlineLevel="0" collapsed="false">
      <c r="B16" s="6" t="s">
        <v>20</v>
      </c>
      <c r="C16" s="6" t="n">
        <f aca="false">COUNTIF(Backlog!$D$3:$D$1000,B16)</f>
        <v>3</v>
      </c>
      <c r="D16" s="6" t="n">
        <f aca="false">SUMIF(Backlog!$D$3:$D$1000,B16,Backlog!$E$3:$E$1000)</f>
        <v>13</v>
      </c>
    </row>
    <row r="17" customFormat="false" ht="15" hidden="false" customHeight="false" outlineLevel="0" collapsed="false">
      <c r="B17" s="7" t="s">
        <v>21</v>
      </c>
      <c r="C17" s="7" t="n">
        <f aca="false">SUM(C14:C16)</f>
        <v>32</v>
      </c>
      <c r="D17" s="7" t="n">
        <f aca="false">SUM(D14:D16)</f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6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34"/>
  </cols>
  <sheetData>
    <row r="2" customFormat="false" ht="26.85" hidden="false" customHeight="false" outlineLevel="0" collapsed="false">
      <c r="A2" s="8" t="s">
        <v>22</v>
      </c>
      <c r="B2" s="8" t="s">
        <v>23</v>
      </c>
      <c r="C2" s="8" t="s">
        <v>24</v>
      </c>
      <c r="D2" s="8" t="s">
        <v>15</v>
      </c>
      <c r="E2" s="8" t="s">
        <v>17</v>
      </c>
      <c r="F2" s="8" t="s">
        <v>25</v>
      </c>
      <c r="G2" s="8" t="s">
        <v>26</v>
      </c>
      <c r="H2" s="8" t="s">
        <v>27</v>
      </c>
    </row>
    <row r="3" customFormat="false" ht="23.85" hidden="false" customHeight="false" outlineLevel="0" collapsed="false">
      <c r="A3" s="9" t="s">
        <v>28</v>
      </c>
      <c r="B3" s="9" t="s">
        <v>29</v>
      </c>
      <c r="C3" s="10" t="s">
        <v>30</v>
      </c>
      <c r="D3" s="11" t="s">
        <v>18</v>
      </c>
      <c r="E3" s="9" t="n">
        <v>5</v>
      </c>
      <c r="F3" s="9" t="n">
        <v>1</v>
      </c>
      <c r="G3" s="12" t="s">
        <v>31</v>
      </c>
      <c r="H3" s="10"/>
    </row>
    <row r="4" customFormat="false" ht="15" hidden="false" customHeight="false" outlineLevel="0" collapsed="false">
      <c r="A4" s="9" t="s">
        <v>32</v>
      </c>
      <c r="B4" s="9" t="s">
        <v>29</v>
      </c>
      <c r="C4" s="10" t="s">
        <v>33</v>
      </c>
      <c r="D4" s="13" t="s">
        <v>19</v>
      </c>
      <c r="E4" s="9" t="n">
        <v>3</v>
      </c>
      <c r="F4" s="9" t="n">
        <v>1</v>
      </c>
      <c r="G4" s="12" t="s">
        <v>31</v>
      </c>
      <c r="H4" s="10"/>
    </row>
    <row r="5" customFormat="false" ht="23.85" hidden="false" customHeight="false" outlineLevel="0" collapsed="false">
      <c r="A5" s="9" t="s">
        <v>34</v>
      </c>
      <c r="B5" s="9" t="s">
        <v>29</v>
      </c>
      <c r="C5" s="10" t="s">
        <v>35</v>
      </c>
      <c r="D5" s="11" t="s">
        <v>18</v>
      </c>
      <c r="E5" s="9" t="n">
        <v>5</v>
      </c>
      <c r="F5" s="9" t="n">
        <v>2</v>
      </c>
      <c r="G5" s="12" t="s">
        <v>31</v>
      </c>
      <c r="H5" s="10" t="s">
        <v>36</v>
      </c>
    </row>
    <row r="6" customFormat="false" ht="15" hidden="false" customHeight="false" outlineLevel="0" collapsed="false">
      <c r="A6" s="9" t="s">
        <v>37</v>
      </c>
      <c r="B6" s="9" t="s">
        <v>29</v>
      </c>
      <c r="C6" s="10" t="s">
        <v>38</v>
      </c>
      <c r="D6" s="13" t="s">
        <v>19</v>
      </c>
      <c r="E6" s="9" t="n">
        <v>3</v>
      </c>
      <c r="F6" s="9" t="n">
        <v>2</v>
      </c>
      <c r="G6" s="12" t="s">
        <v>31</v>
      </c>
      <c r="H6" s="10"/>
    </row>
    <row r="7" customFormat="false" ht="23.85" hidden="false" customHeight="false" outlineLevel="0" collapsed="false">
      <c r="A7" s="9" t="s">
        <v>39</v>
      </c>
      <c r="B7" s="9" t="s">
        <v>40</v>
      </c>
      <c r="C7" s="10" t="s">
        <v>41</v>
      </c>
      <c r="D7" s="11" t="s">
        <v>18</v>
      </c>
      <c r="E7" s="9" t="n">
        <v>3</v>
      </c>
      <c r="F7" s="9" t="n">
        <v>1</v>
      </c>
      <c r="G7" s="12" t="s">
        <v>31</v>
      </c>
      <c r="H7" s="10"/>
    </row>
    <row r="8" customFormat="false" ht="23.85" hidden="false" customHeight="false" outlineLevel="0" collapsed="false">
      <c r="A8" s="9" t="s">
        <v>42</v>
      </c>
      <c r="B8" s="9" t="s">
        <v>40</v>
      </c>
      <c r="C8" s="10" t="s">
        <v>43</v>
      </c>
      <c r="D8" s="11" t="s">
        <v>18</v>
      </c>
      <c r="E8" s="9" t="n">
        <v>3</v>
      </c>
      <c r="F8" s="9" t="n">
        <v>1</v>
      </c>
      <c r="G8" s="12" t="s">
        <v>31</v>
      </c>
      <c r="H8" s="10"/>
    </row>
    <row r="9" customFormat="false" ht="15" hidden="false" customHeight="false" outlineLevel="0" collapsed="false">
      <c r="A9" s="9" t="s">
        <v>44</v>
      </c>
      <c r="B9" s="9" t="s">
        <v>40</v>
      </c>
      <c r="C9" s="10" t="s">
        <v>45</v>
      </c>
      <c r="D9" s="11" t="s">
        <v>18</v>
      </c>
      <c r="E9" s="9" t="n">
        <v>5</v>
      </c>
      <c r="F9" s="9" t="n">
        <v>2</v>
      </c>
      <c r="G9" s="12" t="s">
        <v>31</v>
      </c>
      <c r="H9" s="10"/>
    </row>
    <row r="10" customFormat="false" ht="23.85" hidden="false" customHeight="false" outlineLevel="0" collapsed="false">
      <c r="A10" s="9" t="s">
        <v>46</v>
      </c>
      <c r="B10" s="9" t="s">
        <v>40</v>
      </c>
      <c r="C10" s="10" t="s">
        <v>47</v>
      </c>
      <c r="D10" s="13" t="s">
        <v>19</v>
      </c>
      <c r="E10" s="9" t="n">
        <v>5</v>
      </c>
      <c r="F10" s="9" t="n">
        <v>3</v>
      </c>
      <c r="G10" s="12" t="s">
        <v>31</v>
      </c>
      <c r="H10" s="10" t="s">
        <v>48</v>
      </c>
    </row>
    <row r="11" customFormat="false" ht="15" hidden="false" customHeight="false" outlineLevel="0" collapsed="false">
      <c r="A11" s="9" t="s">
        <v>49</v>
      </c>
      <c r="B11" s="9" t="s">
        <v>50</v>
      </c>
      <c r="C11" s="10" t="s">
        <v>51</v>
      </c>
      <c r="D11" s="11" t="s">
        <v>18</v>
      </c>
      <c r="E11" s="9" t="n">
        <v>5</v>
      </c>
      <c r="F11" s="9" t="n">
        <v>2</v>
      </c>
      <c r="G11" s="12" t="s">
        <v>31</v>
      </c>
      <c r="H11" s="10"/>
    </row>
    <row r="12" customFormat="false" ht="23.85" hidden="false" customHeight="false" outlineLevel="0" collapsed="false">
      <c r="A12" s="9" t="s">
        <v>52</v>
      </c>
      <c r="B12" s="9" t="s">
        <v>50</v>
      </c>
      <c r="C12" s="10" t="s">
        <v>53</v>
      </c>
      <c r="D12" s="11" t="s">
        <v>18</v>
      </c>
      <c r="E12" s="9" t="n">
        <v>5</v>
      </c>
      <c r="F12" s="9" t="n">
        <v>3</v>
      </c>
      <c r="G12" s="12" t="s">
        <v>31</v>
      </c>
      <c r="H12" s="10"/>
    </row>
    <row r="13" customFormat="false" ht="15" hidden="false" customHeight="false" outlineLevel="0" collapsed="false">
      <c r="A13" s="9" t="s">
        <v>54</v>
      </c>
      <c r="B13" s="9" t="s">
        <v>50</v>
      </c>
      <c r="C13" s="10" t="s">
        <v>55</v>
      </c>
      <c r="D13" s="11" t="s">
        <v>18</v>
      </c>
      <c r="E13" s="9" t="n">
        <v>3</v>
      </c>
      <c r="F13" s="9" t="n">
        <v>3</v>
      </c>
      <c r="G13" s="12" t="s">
        <v>31</v>
      </c>
      <c r="H13" s="10"/>
    </row>
    <row r="14" customFormat="false" ht="23.85" hidden="false" customHeight="false" outlineLevel="0" collapsed="false">
      <c r="A14" s="9" t="s">
        <v>56</v>
      </c>
      <c r="B14" s="9" t="s">
        <v>50</v>
      </c>
      <c r="C14" s="10" t="s">
        <v>57</v>
      </c>
      <c r="D14" s="13" t="s">
        <v>19</v>
      </c>
      <c r="E14" s="9" t="n">
        <v>3</v>
      </c>
      <c r="F14" s="9" t="n">
        <v>3</v>
      </c>
      <c r="G14" s="12" t="s">
        <v>31</v>
      </c>
      <c r="H14" s="10"/>
    </row>
    <row r="15" customFormat="false" ht="23.85" hidden="false" customHeight="false" outlineLevel="0" collapsed="false">
      <c r="A15" s="9" t="s">
        <v>58</v>
      </c>
      <c r="B15" s="9" t="s">
        <v>59</v>
      </c>
      <c r="C15" s="10" t="s">
        <v>60</v>
      </c>
      <c r="D15" s="11" t="s">
        <v>18</v>
      </c>
      <c r="E15" s="9" t="n">
        <v>5</v>
      </c>
      <c r="F15" s="9" t="n">
        <v>3</v>
      </c>
      <c r="G15" s="12" t="s">
        <v>31</v>
      </c>
      <c r="H15" s="10" t="s">
        <v>61</v>
      </c>
    </row>
    <row r="16" customFormat="false" ht="23.85" hidden="false" customHeight="false" outlineLevel="0" collapsed="false">
      <c r="A16" s="9" t="s">
        <v>62</v>
      </c>
      <c r="B16" s="9" t="s">
        <v>59</v>
      </c>
      <c r="C16" s="10" t="s">
        <v>63</v>
      </c>
      <c r="D16" s="13" t="s">
        <v>19</v>
      </c>
      <c r="E16" s="9" t="n">
        <v>5</v>
      </c>
      <c r="F16" s="9" t="n">
        <v>4</v>
      </c>
      <c r="G16" s="12" t="s">
        <v>31</v>
      </c>
      <c r="H16" s="10"/>
    </row>
    <row r="17" customFormat="false" ht="15" hidden="false" customHeight="false" outlineLevel="0" collapsed="false">
      <c r="A17" s="9" t="s">
        <v>64</v>
      </c>
      <c r="B17" s="9" t="s">
        <v>65</v>
      </c>
      <c r="C17" s="10" t="s">
        <v>66</v>
      </c>
      <c r="D17" s="11" t="s">
        <v>18</v>
      </c>
      <c r="E17" s="9" t="n">
        <v>5</v>
      </c>
      <c r="F17" s="9" t="n">
        <v>3</v>
      </c>
      <c r="G17" s="12" t="s">
        <v>31</v>
      </c>
      <c r="H17" s="10"/>
    </row>
    <row r="18" customFormat="false" ht="23.85" hidden="false" customHeight="false" outlineLevel="0" collapsed="false">
      <c r="A18" s="9" t="s">
        <v>67</v>
      </c>
      <c r="B18" s="9" t="s">
        <v>65</v>
      </c>
      <c r="C18" s="10" t="s">
        <v>68</v>
      </c>
      <c r="D18" s="11" t="s">
        <v>18</v>
      </c>
      <c r="E18" s="9" t="n">
        <v>3</v>
      </c>
      <c r="F18" s="9" t="n">
        <v>4</v>
      </c>
      <c r="G18" s="12" t="s">
        <v>31</v>
      </c>
      <c r="H18" s="10"/>
    </row>
    <row r="19" customFormat="false" ht="23.85" hidden="false" customHeight="false" outlineLevel="0" collapsed="false">
      <c r="A19" s="9" t="s">
        <v>69</v>
      </c>
      <c r="B19" s="9" t="s">
        <v>65</v>
      </c>
      <c r="C19" s="10" t="s">
        <v>70</v>
      </c>
      <c r="D19" s="11" t="s">
        <v>18</v>
      </c>
      <c r="E19" s="9" t="n">
        <v>8</v>
      </c>
      <c r="F19" s="9" t="n">
        <v>4</v>
      </c>
      <c r="G19" s="12" t="s">
        <v>31</v>
      </c>
      <c r="H19" s="10" t="s">
        <v>71</v>
      </c>
    </row>
    <row r="20" customFormat="false" ht="15" hidden="false" customHeight="false" outlineLevel="0" collapsed="false">
      <c r="A20" s="9" t="s">
        <v>72</v>
      </c>
      <c r="B20" s="9" t="s">
        <v>65</v>
      </c>
      <c r="C20" s="10" t="s">
        <v>73</v>
      </c>
      <c r="D20" s="13" t="s">
        <v>19</v>
      </c>
      <c r="E20" s="9" t="n">
        <v>5</v>
      </c>
      <c r="F20" s="9" t="n">
        <v>5</v>
      </c>
      <c r="G20" s="12" t="s">
        <v>31</v>
      </c>
      <c r="H20" s="10"/>
    </row>
    <row r="21" customFormat="false" ht="23.85" hidden="false" customHeight="false" outlineLevel="0" collapsed="false">
      <c r="A21" s="9" t="s">
        <v>74</v>
      </c>
      <c r="B21" s="9" t="s">
        <v>65</v>
      </c>
      <c r="C21" s="10" t="s">
        <v>75</v>
      </c>
      <c r="D21" s="11" t="s">
        <v>18</v>
      </c>
      <c r="E21" s="9" t="n">
        <v>8</v>
      </c>
      <c r="F21" s="9" t="n">
        <v>4</v>
      </c>
      <c r="G21" s="12" t="s">
        <v>31</v>
      </c>
      <c r="H21" s="10" t="s">
        <v>76</v>
      </c>
    </row>
    <row r="22" customFormat="false" ht="15" hidden="false" customHeight="false" outlineLevel="0" collapsed="false">
      <c r="A22" s="9" t="s">
        <v>77</v>
      </c>
      <c r="B22" s="9" t="s">
        <v>78</v>
      </c>
      <c r="C22" s="10" t="s">
        <v>79</v>
      </c>
      <c r="D22" s="13" t="s">
        <v>19</v>
      </c>
      <c r="E22" s="9" t="n">
        <v>5</v>
      </c>
      <c r="F22" s="9" t="n">
        <v>5</v>
      </c>
      <c r="G22" s="12" t="s">
        <v>31</v>
      </c>
      <c r="H22" s="10"/>
    </row>
    <row r="23" customFormat="false" ht="15" hidden="false" customHeight="false" outlineLevel="0" collapsed="false">
      <c r="A23" s="9" t="s">
        <v>80</v>
      </c>
      <c r="B23" s="9" t="s">
        <v>78</v>
      </c>
      <c r="C23" s="10" t="s">
        <v>81</v>
      </c>
      <c r="D23" s="14" t="s">
        <v>20</v>
      </c>
      <c r="E23" s="9" t="n">
        <v>3</v>
      </c>
      <c r="F23" s="9" t="n">
        <v>5</v>
      </c>
      <c r="G23" s="12" t="s">
        <v>31</v>
      </c>
      <c r="H23" s="10"/>
    </row>
    <row r="24" customFormat="false" ht="23.85" hidden="false" customHeight="false" outlineLevel="0" collapsed="false">
      <c r="A24" s="9" t="s">
        <v>82</v>
      </c>
      <c r="B24" s="9" t="s">
        <v>78</v>
      </c>
      <c r="C24" s="10" t="s">
        <v>83</v>
      </c>
      <c r="D24" s="14" t="s">
        <v>20</v>
      </c>
      <c r="E24" s="9" t="n">
        <v>5</v>
      </c>
      <c r="F24" s="9" t="n">
        <v>6</v>
      </c>
      <c r="G24" s="12" t="s">
        <v>31</v>
      </c>
      <c r="H24" s="10"/>
    </row>
    <row r="25" customFormat="false" ht="23.85" hidden="false" customHeight="false" outlineLevel="0" collapsed="false">
      <c r="A25" s="9" t="s">
        <v>84</v>
      </c>
      <c r="B25" s="9" t="s">
        <v>85</v>
      </c>
      <c r="C25" s="10" t="s">
        <v>86</v>
      </c>
      <c r="D25" s="11" t="s">
        <v>18</v>
      </c>
      <c r="E25" s="9" t="n">
        <v>8</v>
      </c>
      <c r="F25" s="9" t="n">
        <v>6</v>
      </c>
      <c r="G25" s="12" t="s">
        <v>31</v>
      </c>
      <c r="H25" s="10"/>
    </row>
    <row r="26" customFormat="false" ht="15" hidden="false" customHeight="false" outlineLevel="0" collapsed="false">
      <c r="A26" s="9" t="s">
        <v>87</v>
      </c>
      <c r="B26" s="9" t="s">
        <v>85</v>
      </c>
      <c r="C26" s="10" t="s">
        <v>88</v>
      </c>
      <c r="D26" s="11" t="s">
        <v>18</v>
      </c>
      <c r="E26" s="9" t="n">
        <v>5</v>
      </c>
      <c r="F26" s="9" t="n">
        <v>6</v>
      </c>
      <c r="G26" s="12" t="s">
        <v>31</v>
      </c>
      <c r="H26" s="10"/>
    </row>
    <row r="27" customFormat="false" ht="15" hidden="false" customHeight="false" outlineLevel="0" collapsed="false">
      <c r="A27" s="9" t="s">
        <v>89</v>
      </c>
      <c r="B27" s="9" t="s">
        <v>85</v>
      </c>
      <c r="C27" s="10" t="s">
        <v>90</v>
      </c>
      <c r="D27" s="13" t="s">
        <v>19</v>
      </c>
      <c r="E27" s="9" t="n">
        <v>8</v>
      </c>
      <c r="F27" s="9" t="n">
        <v>7</v>
      </c>
      <c r="G27" s="12" t="s">
        <v>31</v>
      </c>
      <c r="H27" s="10"/>
    </row>
    <row r="28" customFormat="false" ht="23.85" hidden="false" customHeight="false" outlineLevel="0" collapsed="false">
      <c r="A28" s="9" t="s">
        <v>91</v>
      </c>
      <c r="B28" s="9" t="s">
        <v>85</v>
      </c>
      <c r="C28" s="10" t="s">
        <v>92</v>
      </c>
      <c r="D28" s="11" t="s">
        <v>18</v>
      </c>
      <c r="E28" s="9" t="n">
        <v>5</v>
      </c>
      <c r="F28" s="9" t="n">
        <v>7</v>
      </c>
      <c r="G28" s="12" t="s">
        <v>31</v>
      </c>
      <c r="H28" s="10" t="s">
        <v>93</v>
      </c>
    </row>
    <row r="29" customFormat="false" ht="15" hidden="false" customHeight="false" outlineLevel="0" collapsed="false">
      <c r="A29" s="9" t="s">
        <v>94</v>
      </c>
      <c r="B29" s="9" t="s">
        <v>95</v>
      </c>
      <c r="C29" s="10" t="s">
        <v>96</v>
      </c>
      <c r="D29" s="13" t="s">
        <v>19</v>
      </c>
      <c r="E29" s="9" t="n">
        <v>5</v>
      </c>
      <c r="F29" s="9" t="n">
        <v>8</v>
      </c>
      <c r="G29" s="12" t="s">
        <v>31</v>
      </c>
      <c r="H29" s="10" t="s">
        <v>97</v>
      </c>
    </row>
    <row r="30" customFormat="false" ht="23.85" hidden="false" customHeight="false" outlineLevel="0" collapsed="false">
      <c r="A30" s="9" t="s">
        <v>98</v>
      </c>
      <c r="B30" s="9" t="s">
        <v>95</v>
      </c>
      <c r="C30" s="10" t="s">
        <v>99</v>
      </c>
      <c r="D30" s="13" t="s">
        <v>19</v>
      </c>
      <c r="E30" s="9" t="n">
        <v>5</v>
      </c>
      <c r="F30" s="9" t="n">
        <v>8</v>
      </c>
      <c r="G30" s="12" t="s">
        <v>31</v>
      </c>
      <c r="H30" s="10" t="s">
        <v>97</v>
      </c>
    </row>
    <row r="31" customFormat="false" ht="23.85" hidden="false" customHeight="false" outlineLevel="0" collapsed="false">
      <c r="A31" s="9" t="s">
        <v>100</v>
      </c>
      <c r="B31" s="9" t="s">
        <v>95</v>
      </c>
      <c r="C31" s="10" t="s">
        <v>101</v>
      </c>
      <c r="D31" s="14" t="s">
        <v>20</v>
      </c>
      <c r="E31" s="9" t="n">
        <v>5</v>
      </c>
      <c r="F31" s="9" t="n">
        <v>8</v>
      </c>
      <c r="G31" s="12" t="s">
        <v>31</v>
      </c>
      <c r="H31" s="10" t="s">
        <v>97</v>
      </c>
    </row>
    <row r="32" customFormat="false" ht="15" hidden="false" customHeight="false" outlineLevel="0" collapsed="false">
      <c r="A32" s="9" t="s">
        <v>102</v>
      </c>
      <c r="B32" s="9" t="s">
        <v>103</v>
      </c>
      <c r="C32" s="10" t="s">
        <v>104</v>
      </c>
      <c r="D32" s="11" t="s">
        <v>18</v>
      </c>
      <c r="E32" s="9" t="n">
        <v>8</v>
      </c>
      <c r="F32" s="9" t="n">
        <v>0</v>
      </c>
      <c r="G32" s="12" t="s">
        <v>31</v>
      </c>
      <c r="H32" s="10" t="s">
        <v>105</v>
      </c>
    </row>
    <row r="33" customFormat="false" ht="15" hidden="false" customHeight="false" outlineLevel="0" collapsed="false">
      <c r="A33" s="9" t="s">
        <v>106</v>
      </c>
      <c r="B33" s="9" t="s">
        <v>103</v>
      </c>
      <c r="C33" s="10" t="s">
        <v>107</v>
      </c>
      <c r="D33" s="11" t="s">
        <v>18</v>
      </c>
      <c r="E33" s="9" t="n">
        <v>5</v>
      </c>
      <c r="F33" s="9" t="n">
        <v>0</v>
      </c>
      <c r="G33" s="12" t="s">
        <v>31</v>
      </c>
      <c r="H33" s="10" t="s">
        <v>105</v>
      </c>
    </row>
    <row r="34" customFormat="false" ht="15" hidden="false" customHeight="false" outlineLevel="0" collapsed="false">
      <c r="A34" s="9" t="s">
        <v>108</v>
      </c>
      <c r="B34" s="9" t="s">
        <v>103</v>
      </c>
      <c r="C34" s="10" t="s">
        <v>109</v>
      </c>
      <c r="D34" s="11" t="s">
        <v>18</v>
      </c>
      <c r="E34" s="9" t="n">
        <v>8</v>
      </c>
      <c r="F34" s="9" t="n">
        <v>4</v>
      </c>
      <c r="G34" s="12" t="s">
        <v>31</v>
      </c>
      <c r="H34" s="10" t="s">
        <v>110</v>
      </c>
    </row>
  </sheetData>
  <dataValidations count="3">
    <dataValidation allowBlank="true" errorStyle="stop" operator="between" showDropDown="false" showErrorMessage="false" showInputMessage="false" sqref="D3:D84" type="list">
      <formula1>"Alta,Media,Baja"</formula1>
      <formula2>0</formula2>
    </dataValidation>
    <dataValidation allowBlank="true" errorStyle="stop" operator="between" showDropDown="false" showErrorMessage="false" showInputMessage="false" sqref="G3:G84" type="list">
      <formula1>"Pendiente,En progreso,Hecho"</formula1>
      <formula2>0</formula2>
    </dataValidation>
    <dataValidation allowBlank="true" errorStyle="stop" operator="between" showDropDown="false" showErrorMessage="false" showInputMessage="false" sqref="F3:F84" type="list">
      <formula1>"0,1,2,3,4,5,6,7,8"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4"/>
  </cols>
  <sheetData>
    <row r="2" customFormat="false" ht="26.85" hidden="false" customHeight="false" outlineLevel="0" collapsed="false">
      <c r="A2" s="8" t="s">
        <v>25</v>
      </c>
      <c r="B2" s="8" t="s">
        <v>111</v>
      </c>
      <c r="C2" s="8" t="s">
        <v>112</v>
      </c>
      <c r="D2" s="8" t="s">
        <v>113</v>
      </c>
      <c r="E2" s="8" t="s">
        <v>17</v>
      </c>
    </row>
    <row r="3" customFormat="false" ht="23.85" hidden="false" customHeight="false" outlineLevel="0" collapsed="false">
      <c r="A3" s="9" t="n">
        <v>0</v>
      </c>
      <c r="B3" s="10" t="s">
        <v>114</v>
      </c>
      <c r="C3" s="9" t="s">
        <v>115</v>
      </c>
      <c r="D3" s="9" t="n">
        <f aca="false">COUNTIF(Backlog!$F$3:$F$1000,A3)</f>
        <v>2</v>
      </c>
      <c r="E3" s="9" t="n">
        <f aca="false">SUMIF(Backlog!$F$3:$F$1000,A3,Backlog!$E$3:$E$1000)</f>
        <v>13</v>
      </c>
    </row>
    <row r="4" customFormat="false" ht="15" hidden="false" customHeight="false" outlineLevel="0" collapsed="false">
      <c r="A4" s="9" t="n">
        <v>1</v>
      </c>
      <c r="B4" s="10" t="s">
        <v>116</v>
      </c>
      <c r="C4" s="9" t="s">
        <v>115</v>
      </c>
      <c r="D4" s="9" t="n">
        <f aca="false">COUNTIF(Backlog!$F$3:$F$1000,A4)</f>
        <v>4</v>
      </c>
      <c r="E4" s="9" t="n">
        <f aca="false">SUMIF(Backlog!$F$3:$F$1000,A4,Backlog!$E$3:$E$1000)</f>
        <v>14</v>
      </c>
    </row>
    <row r="5" customFormat="false" ht="15" hidden="false" customHeight="false" outlineLevel="0" collapsed="false">
      <c r="A5" s="9" t="n">
        <v>2</v>
      </c>
      <c r="B5" s="10" t="s">
        <v>117</v>
      </c>
      <c r="C5" s="9" t="s">
        <v>115</v>
      </c>
      <c r="D5" s="9" t="n">
        <f aca="false">COUNTIF(Backlog!$F$3:$F$1000,A5)</f>
        <v>4</v>
      </c>
      <c r="E5" s="9" t="n">
        <f aca="false">SUMIF(Backlog!$F$3:$F$1000,A5,Backlog!$E$3:$E$1000)</f>
        <v>18</v>
      </c>
    </row>
    <row r="6" customFormat="false" ht="23.85" hidden="false" customHeight="false" outlineLevel="0" collapsed="false">
      <c r="A6" s="9" t="n">
        <v>3</v>
      </c>
      <c r="B6" s="10" t="s">
        <v>118</v>
      </c>
      <c r="C6" s="9" t="s">
        <v>115</v>
      </c>
      <c r="D6" s="9" t="n">
        <f aca="false">COUNTIF(Backlog!$F$3:$F$1000,A6)</f>
        <v>6</v>
      </c>
      <c r="E6" s="9" t="n">
        <f aca="false">SUMIF(Backlog!$F$3:$F$1000,A6,Backlog!$E$3:$E$1000)</f>
        <v>26</v>
      </c>
    </row>
    <row r="7" customFormat="false" ht="23.85" hidden="false" customHeight="false" outlineLevel="0" collapsed="false">
      <c r="A7" s="9" t="n">
        <v>4</v>
      </c>
      <c r="B7" s="10" t="s">
        <v>119</v>
      </c>
      <c r="C7" s="9" t="s">
        <v>115</v>
      </c>
      <c r="D7" s="9" t="n">
        <f aca="false">COUNTIF(Backlog!$F$3:$F$1000,A7)</f>
        <v>5</v>
      </c>
      <c r="E7" s="9" t="n">
        <f aca="false">SUMIF(Backlog!$F$3:$F$1000,A7,Backlog!$E$3:$E$1000)</f>
        <v>32</v>
      </c>
    </row>
    <row r="8" customFormat="false" ht="15" hidden="false" customHeight="false" outlineLevel="0" collapsed="false">
      <c r="A8" s="9" t="n">
        <v>5</v>
      </c>
      <c r="B8" s="10" t="s">
        <v>120</v>
      </c>
      <c r="C8" s="9" t="s">
        <v>121</v>
      </c>
      <c r="D8" s="9" t="n">
        <f aca="false">COUNTIF(Backlog!$F$3:$F$1000,A8)</f>
        <v>3</v>
      </c>
      <c r="E8" s="9" t="n">
        <f aca="false">SUMIF(Backlog!$F$3:$F$1000,A8,Backlog!$E$3:$E$1000)</f>
        <v>13</v>
      </c>
    </row>
    <row r="9" customFormat="false" ht="15" hidden="false" customHeight="false" outlineLevel="0" collapsed="false">
      <c r="A9" s="9" t="n">
        <v>6</v>
      </c>
      <c r="B9" s="10" t="s">
        <v>122</v>
      </c>
      <c r="C9" s="9" t="s">
        <v>121</v>
      </c>
      <c r="D9" s="9" t="n">
        <f aca="false">COUNTIF(Backlog!$F$3:$F$1000,A9)</f>
        <v>3</v>
      </c>
      <c r="E9" s="9" t="n">
        <f aca="false">SUMIF(Backlog!$F$3:$F$1000,A9,Backlog!$E$3:$E$1000)</f>
        <v>18</v>
      </c>
    </row>
    <row r="10" customFormat="false" ht="15" hidden="false" customHeight="false" outlineLevel="0" collapsed="false">
      <c r="A10" s="9" t="n">
        <v>7</v>
      </c>
      <c r="B10" s="10" t="s">
        <v>123</v>
      </c>
      <c r="C10" s="9" t="s">
        <v>121</v>
      </c>
      <c r="D10" s="9" t="n">
        <f aca="false">COUNTIF(Backlog!$F$3:$F$1000,A10)</f>
        <v>2</v>
      </c>
      <c r="E10" s="9" t="n">
        <f aca="false">SUMIF(Backlog!$F$3:$F$1000,A10,Backlog!$E$3:$E$1000)</f>
        <v>13</v>
      </c>
    </row>
    <row r="11" customFormat="false" ht="15" hidden="false" customHeight="false" outlineLevel="0" collapsed="false">
      <c r="A11" s="9" t="n">
        <v>8</v>
      </c>
      <c r="B11" s="10" t="s">
        <v>124</v>
      </c>
      <c r="C11" s="9" t="s">
        <v>125</v>
      </c>
      <c r="D11" s="9" t="n">
        <f aca="false">COUNTIF(Backlog!$F$3:$F$1000,A11)</f>
        <v>3</v>
      </c>
      <c r="E11" s="9" t="n">
        <f aca="false">SUMIF(Backlog!$F$3:$F$1000,A11,Backlog!$E$3:$E$1000)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46"/>
  </cols>
  <sheetData>
    <row r="2" customFormat="false" ht="15" hidden="false" customHeight="false" outlineLevel="0" collapsed="false">
      <c r="A2" s="8" t="s">
        <v>112</v>
      </c>
      <c r="B2" s="8" t="s">
        <v>126</v>
      </c>
      <c r="C2" s="8" t="s">
        <v>127</v>
      </c>
      <c r="D2" s="8" t="s">
        <v>128</v>
      </c>
    </row>
    <row r="3" customFormat="false" ht="15" hidden="false" customHeight="false" outlineLevel="0" collapsed="false">
      <c r="A3" s="9" t="s">
        <v>129</v>
      </c>
      <c r="B3" s="9" t="s">
        <v>103</v>
      </c>
      <c r="C3" s="9" t="s">
        <v>130</v>
      </c>
      <c r="D3" s="10" t="s">
        <v>131</v>
      </c>
    </row>
    <row r="4" customFormat="false" ht="15" hidden="false" customHeight="false" outlineLevel="0" collapsed="false">
      <c r="A4" s="9" t="s">
        <v>115</v>
      </c>
      <c r="B4" s="9" t="s">
        <v>29</v>
      </c>
      <c r="C4" s="9" t="s">
        <v>132</v>
      </c>
      <c r="D4" s="10" t="s">
        <v>133</v>
      </c>
    </row>
    <row r="5" customFormat="false" ht="15" hidden="false" customHeight="false" outlineLevel="0" collapsed="false">
      <c r="A5" s="9" t="s">
        <v>115</v>
      </c>
      <c r="B5" s="9" t="s">
        <v>40</v>
      </c>
      <c r="C5" s="9" t="s">
        <v>134</v>
      </c>
      <c r="D5" s="10" t="s">
        <v>135</v>
      </c>
    </row>
    <row r="6" customFormat="false" ht="15" hidden="false" customHeight="false" outlineLevel="0" collapsed="false">
      <c r="A6" s="9" t="s">
        <v>115</v>
      </c>
      <c r="B6" s="9" t="s">
        <v>50</v>
      </c>
      <c r="C6" s="9" t="s">
        <v>136</v>
      </c>
      <c r="D6" s="10" t="s">
        <v>137</v>
      </c>
    </row>
    <row r="7" customFormat="false" ht="15" hidden="false" customHeight="false" outlineLevel="0" collapsed="false">
      <c r="A7" s="9" t="s">
        <v>115</v>
      </c>
      <c r="B7" s="9" t="s">
        <v>65</v>
      </c>
      <c r="C7" s="9" t="s">
        <v>138</v>
      </c>
      <c r="D7" s="10" t="s">
        <v>139</v>
      </c>
    </row>
    <row r="8" customFormat="false" ht="15" hidden="false" customHeight="false" outlineLevel="0" collapsed="false">
      <c r="A8" s="9" t="s">
        <v>121</v>
      </c>
      <c r="B8" s="9" t="s">
        <v>140</v>
      </c>
      <c r="C8" s="9" t="s">
        <v>141</v>
      </c>
      <c r="D8" s="10" t="s">
        <v>142</v>
      </c>
    </row>
    <row r="9" customFormat="false" ht="15" hidden="false" customHeight="false" outlineLevel="0" collapsed="false">
      <c r="A9" s="9" t="s">
        <v>121</v>
      </c>
      <c r="B9" s="9" t="s">
        <v>85</v>
      </c>
      <c r="C9" s="9" t="s">
        <v>143</v>
      </c>
      <c r="D9" s="10" t="s">
        <v>144</v>
      </c>
    </row>
    <row r="10" customFormat="false" ht="15" hidden="false" customHeight="false" outlineLevel="0" collapsed="false">
      <c r="A10" s="9" t="s">
        <v>125</v>
      </c>
      <c r="B10" s="9" t="s">
        <v>95</v>
      </c>
      <c r="C10" s="9" t="s">
        <v>145</v>
      </c>
      <c r="D10" s="10" t="s">
        <v>146</v>
      </c>
    </row>
    <row r="11" customFormat="false" ht="15" hidden="false" customHeight="false" outlineLevel="0" collapsed="false">
      <c r="A11" s="9" t="s">
        <v>125</v>
      </c>
      <c r="B11" s="9" t="s">
        <v>147</v>
      </c>
      <c r="C11" s="9" t="s">
        <v>148</v>
      </c>
      <c r="D11" s="10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2026-08-24T21:37:26Z</dcterms:created>
  <dc:creator>openpyxl</dc:creator>
  <dc:description/>
  <dc:language>en-US</dc:language>
  <cp:lastModifiedBy/>
  <dcterms:modified xsi:type="dcterms:W3CDTF">2026-08-24T21:37:26Z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